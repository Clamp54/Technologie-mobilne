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filterPrivacy="1" defaultThemeVersion="124226"/>
  <xr:revisionPtr revIDLastSave="0" documentId="8_{7B70028F-2A7E-4EAD-9D70-6C242BDF3ED3}" xr6:coauthVersionLast="47" xr6:coauthVersionMax="47" xr10:uidLastSave="{00000000-0000-0000-0000-000000000000}"/>
  <bookViews>
    <workbookView xWindow="-60" yWindow="-60" windowWidth="15480" windowHeight="11640" xr2:uid="{F04D1488-B1E8-4864-B961-1E480B718583}"/>
  </bookViews>
  <sheets>
    <sheet name="Arkusz1" sheetId="1" r:id="rId1"/>
    <sheet name="Arkusz2" sheetId="2" r:id="rId2"/>
    <sheet name="Arkusz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L2" i="1"/>
  <c r="G6" i="1"/>
  <c r="G4" i="1"/>
  <c r="H2" i="1"/>
  <c r="I2" i="1"/>
  <c r="J2" i="1" s="1"/>
  <c r="K2" i="1" s="1"/>
</calcChain>
</file>

<file path=xl/sharedStrings.xml><?xml version="1.0" encoding="utf-8"?>
<sst xmlns="http://schemas.openxmlformats.org/spreadsheetml/2006/main" count="13" uniqueCount="13">
  <si>
    <t>Nr studenta</t>
  </si>
  <si>
    <t>czas przybycia</t>
  </si>
  <si>
    <t>czas obsługi</t>
  </si>
  <si>
    <t>liczba stanowisk obsługi r</t>
  </si>
  <si>
    <t>czas 
(w min.)</t>
  </si>
  <si>
    <t>ℷ</t>
  </si>
  <si>
    <t>m</t>
  </si>
  <si>
    <t>r</t>
  </si>
  <si>
    <t>P(n=0)</t>
  </si>
  <si>
    <t>Q</t>
  </si>
  <si>
    <t>W</t>
  </si>
  <si>
    <t>przybycia:</t>
  </si>
  <si>
    <t>obsługi: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</si>
</sst>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Zmiany przeciętnej stopy przybyć, oraz przeciętnej stopy obsługi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Arkusz1!C2:C33</c:f>
              <c:numCache>
                <c:formatCode>General</c:formatCode>
                <c:ptCount val="32"/>
                <c:pt idx="0">
                  <c:v>40</c:v>
                </c:pt>
                <c:pt idx="1">
                  <c:v>60</c:v>
                </c:pt>
                <c:pt idx="2">
                  <c:v>65</c:v>
                </c:pt>
                <c:pt idx="3">
                  <c:v>60</c:v>
                </c:pt>
                <c:pt idx="4">
                  <c:v>40</c:v>
                </c:pt>
                <c:pt idx="5">
                  <c:v>55</c:v>
                </c:pt>
                <c:pt idx="6">
                  <c:v>65</c:v>
                </c:pt>
                <c:pt idx="7">
                  <c:v>60</c:v>
                </c:pt>
                <c:pt idx="8">
                  <c:v>60</c:v>
                </c:pt>
                <c:pt idx="9">
                  <c:v>70</c:v>
                </c:pt>
                <c:pt idx="10">
                  <c:v>65</c:v>
                </c:pt>
                <c:pt idx="11">
                  <c:v>70</c:v>
                </c:pt>
                <c:pt idx="12">
                  <c:v>65</c:v>
                </c:pt>
                <c:pt idx="13">
                  <c:v>75</c:v>
                </c:pt>
                <c:pt idx="14">
                  <c:v>60</c:v>
                </c:pt>
                <c:pt idx="15">
                  <c:v>50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75</c:v>
                </c:pt>
                <c:pt idx="20">
                  <c:v>70</c:v>
                </c:pt>
                <c:pt idx="21">
                  <c:v>60</c:v>
                </c:pt>
                <c:pt idx="22">
                  <c:v>65</c:v>
                </c:pt>
                <c:pt idx="23">
                  <c:v>62</c:v>
                </c:pt>
                <c:pt idx="24">
                  <c:v>60</c:v>
                </c:pt>
                <c:pt idx="25">
                  <c:v>40</c:v>
                </c:pt>
                <c:pt idx="26">
                  <c:v>55</c:v>
                </c:pt>
                <c:pt idx="27">
                  <c:v>75</c:v>
                </c:pt>
                <c:pt idx="28">
                  <c:v>60</c:v>
                </c:pt>
                <c:pt idx="29">
                  <c:v>40</c:v>
                </c:pt>
                <c:pt idx="30">
                  <c:v>70</c:v>
                </c:pt>
                <c:pt idx="31">
                  <c:v>60</c:v>
                </c:pt>
              </c:numCache>
            </c:numRef>
          </c:cat>
          <c:val>
            <c:numRef>
              <c:f>Arkusz1!$B$2:$B$33</c:f>
              <c:numCache>
                <c:formatCode>General</c:formatCode>
                <c:ptCount val="32"/>
                <c:pt idx="0">
                  <c:v>0</c:v>
                </c:pt>
                <c:pt idx="1">
                  <c:v>6</c:v>
                </c:pt>
                <c:pt idx="2">
                  <c:v>40</c:v>
                </c:pt>
                <c:pt idx="3">
                  <c:v>30</c:v>
                </c:pt>
                <c:pt idx="4">
                  <c:v>50</c:v>
                </c:pt>
                <c:pt idx="5">
                  <c:v>30</c:v>
                </c:pt>
                <c:pt idx="6">
                  <c:v>25</c:v>
                </c:pt>
                <c:pt idx="7">
                  <c:v>5</c:v>
                </c:pt>
                <c:pt idx="8">
                  <c:v>15</c:v>
                </c:pt>
                <c:pt idx="9">
                  <c:v>15</c:v>
                </c:pt>
                <c:pt idx="10">
                  <c:v>10</c:v>
                </c:pt>
                <c:pt idx="11">
                  <c:v>30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50</c:v>
                </c:pt>
                <c:pt idx="16">
                  <c:v>50</c:v>
                </c:pt>
                <c:pt idx="17">
                  <c:v>55</c:v>
                </c:pt>
                <c:pt idx="18">
                  <c:v>45</c:v>
                </c:pt>
                <c:pt idx="19">
                  <c:v>55</c:v>
                </c:pt>
                <c:pt idx="20">
                  <c:v>55</c:v>
                </c:pt>
                <c:pt idx="21">
                  <c:v>50</c:v>
                </c:pt>
                <c:pt idx="22">
                  <c:v>45</c:v>
                </c:pt>
                <c:pt idx="23">
                  <c:v>45</c:v>
                </c:pt>
                <c:pt idx="24">
                  <c:v>50</c:v>
                </c:pt>
                <c:pt idx="25">
                  <c:v>10</c:v>
                </c:pt>
                <c:pt idx="26">
                  <c:v>25</c:v>
                </c:pt>
                <c:pt idx="27">
                  <c:v>25</c:v>
                </c:pt>
                <c:pt idx="28">
                  <c:v>55</c:v>
                </c:pt>
                <c:pt idx="29">
                  <c:v>55</c:v>
                </c:pt>
                <c:pt idx="30">
                  <c:v>40</c:v>
                </c:pt>
                <c:pt idx="3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A7-4809-A12E-B88A7C007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639943"/>
        <c:axId val="1209641991"/>
      </c:lineChart>
      <c:catAx>
        <c:axId val="1209639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641991"/>
        <c:crosses val="autoZero"/>
        <c:auto val="1"/>
        <c:lblAlgn val="ctr"/>
        <c:lblOffset val="100"/>
        <c:noMultiLvlLbl val="0"/>
      </c:catAx>
      <c:valAx>
        <c:axId val="1209641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639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6</xdr:row>
      <xdr:rowOff>152400</xdr:rowOff>
    </xdr:from>
    <xdr:to>
      <xdr:col>11</xdr:col>
      <xdr:colOff>209550</xdr:colOff>
      <xdr:row>21</xdr:row>
      <xdr:rowOff>38100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B5C0C86-30B2-928D-6871-FC366740E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2496-3385-4B30-AB0A-D6D355D50EFE}">
  <dimension ref="A1:M33"/>
  <sheetViews>
    <sheetView tabSelected="1" workbookViewId="0">
      <selection activeCell="P16" sqref="P16"/>
    </sheetView>
  </sheetViews>
  <sheetFormatPr defaultRowHeight="15"/>
  <cols>
    <col min="1" max="1" width="10.42578125" customWidth="1"/>
    <col min="4" max="4" width="11.140625" customWidth="1"/>
    <col min="5" max="5" width="9.7109375" customWidth="1"/>
    <col min="11" max="11" width="8.85546875" bestFit="1" customWidth="1"/>
  </cols>
  <sheetData>
    <row r="1" spans="1:13" ht="48" customHeight="1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2" t="s">
        <v>5</v>
      </c>
      <c r="I1" s="2" t="s">
        <v>6</v>
      </c>
      <c r="J1" s="2" t="s">
        <v>7</v>
      </c>
      <c r="K1" s="1" t="s">
        <v>8</v>
      </c>
      <c r="L1" s="1" t="s">
        <v>9</v>
      </c>
      <c r="M1" s="1" t="s">
        <v>10</v>
      </c>
    </row>
    <row r="2" spans="1:13">
      <c r="A2">
        <v>1</v>
      </c>
      <c r="B2">
        <v>0</v>
      </c>
      <c r="C2">
        <v>40</v>
      </c>
      <c r="E2">
        <v>2</v>
      </c>
      <c r="H2">
        <f>32 / (MAX(B2:B33) / 60)</f>
        <v>34.909090909090914</v>
      </c>
      <c r="I2">
        <f>32 / (MAX(C2:C33) / 60)</f>
        <v>25.6</v>
      </c>
      <c r="J2">
        <f>H2/(I2*E2)</f>
        <v>0.68181818181818188</v>
      </c>
      <c r="K2">
        <f>1/((J2^0/FACT(0)) + (J2^1/FACT(1)) + (J2^E2)/((E2-J2)*FACT(E2-1)))</f>
        <v>0.49152542372881347</v>
      </c>
      <c r="L2">
        <f>(J2^(E2+1)*K2)/((E2-K2^2)*FACT(E2-1))</f>
        <v>8.8599927139280207E-2</v>
      </c>
      <c r="M2">
        <f>(L2/H2)*60</f>
        <v>0.15228112477063785</v>
      </c>
    </row>
    <row r="3" spans="1:13">
      <c r="A3">
        <v>2</v>
      </c>
      <c r="B3">
        <v>6</v>
      </c>
      <c r="C3">
        <v>60</v>
      </c>
      <c r="G3" t="s">
        <v>11</v>
      </c>
    </row>
    <row r="4" spans="1:13">
      <c r="A4">
        <v>3</v>
      </c>
      <c r="B4">
        <v>40</v>
      </c>
      <c r="C4">
        <v>65</v>
      </c>
      <c r="G4">
        <f>MAX(B2:B33) / 60</f>
        <v>0.91666666666666663</v>
      </c>
    </row>
    <row r="5" spans="1:13">
      <c r="A5">
        <v>4</v>
      </c>
      <c r="B5">
        <v>30</v>
      </c>
      <c r="C5">
        <v>60</v>
      </c>
      <c r="G5" t="s">
        <v>12</v>
      </c>
    </row>
    <row r="6" spans="1:13">
      <c r="A6">
        <v>5</v>
      </c>
      <c r="B6">
        <v>50</v>
      </c>
      <c r="C6">
        <v>40</v>
      </c>
      <c r="G6">
        <f>MAX(C2:C33) / 60</f>
        <v>1.25</v>
      </c>
    </row>
    <row r="7" spans="1:13">
      <c r="A7">
        <v>6</v>
      </c>
      <c r="B7">
        <v>30</v>
      </c>
      <c r="C7">
        <v>55</v>
      </c>
    </row>
    <row r="8" spans="1:13">
      <c r="A8">
        <v>7</v>
      </c>
      <c r="B8">
        <v>25</v>
      </c>
      <c r="C8">
        <v>65</v>
      </c>
    </row>
    <row r="9" spans="1:13">
      <c r="A9">
        <v>8</v>
      </c>
      <c r="B9">
        <v>5</v>
      </c>
      <c r="C9">
        <v>60</v>
      </c>
    </row>
    <row r="10" spans="1:13">
      <c r="A10">
        <v>9</v>
      </c>
      <c r="B10">
        <v>15</v>
      </c>
      <c r="C10">
        <v>60</v>
      </c>
    </row>
    <row r="11" spans="1:13">
      <c r="A11">
        <v>10</v>
      </c>
      <c r="B11">
        <v>15</v>
      </c>
      <c r="C11">
        <v>70</v>
      </c>
    </row>
    <row r="12" spans="1:13">
      <c r="A12">
        <v>11</v>
      </c>
      <c r="B12">
        <v>10</v>
      </c>
      <c r="C12">
        <v>65</v>
      </c>
    </row>
    <row r="13" spans="1:13">
      <c r="A13">
        <v>12</v>
      </c>
      <c r="B13">
        <v>30</v>
      </c>
      <c r="C13">
        <v>70</v>
      </c>
    </row>
    <row r="14" spans="1:13">
      <c r="A14">
        <v>13</v>
      </c>
      <c r="B14">
        <v>40</v>
      </c>
      <c r="C14">
        <v>65</v>
      </c>
    </row>
    <row r="15" spans="1:13">
      <c r="A15">
        <v>14</v>
      </c>
      <c r="B15">
        <v>40</v>
      </c>
      <c r="C15">
        <v>75</v>
      </c>
    </row>
    <row r="16" spans="1:13">
      <c r="A16">
        <v>15</v>
      </c>
      <c r="B16">
        <v>40</v>
      </c>
      <c r="C16">
        <v>60</v>
      </c>
    </row>
    <row r="17" spans="1:3">
      <c r="A17">
        <v>16</v>
      </c>
      <c r="B17">
        <v>50</v>
      </c>
      <c r="C17">
        <v>50</v>
      </c>
    </row>
    <row r="18" spans="1:3">
      <c r="A18">
        <v>17</v>
      </c>
      <c r="B18">
        <v>50</v>
      </c>
      <c r="C18">
        <v>65</v>
      </c>
    </row>
    <row r="19" spans="1:3">
      <c r="A19">
        <v>18</v>
      </c>
      <c r="B19">
        <v>55</v>
      </c>
      <c r="C19">
        <v>65</v>
      </c>
    </row>
    <row r="20" spans="1:3">
      <c r="A20">
        <v>19</v>
      </c>
      <c r="B20">
        <v>45</v>
      </c>
      <c r="C20">
        <v>65</v>
      </c>
    </row>
    <row r="21" spans="1:3">
      <c r="A21">
        <v>20</v>
      </c>
      <c r="B21">
        <v>55</v>
      </c>
      <c r="C21">
        <v>75</v>
      </c>
    </row>
    <row r="22" spans="1:3">
      <c r="A22">
        <v>21</v>
      </c>
      <c r="B22">
        <v>55</v>
      </c>
      <c r="C22">
        <v>70</v>
      </c>
    </row>
    <row r="23" spans="1:3">
      <c r="A23">
        <v>22</v>
      </c>
      <c r="B23">
        <v>50</v>
      </c>
      <c r="C23">
        <v>60</v>
      </c>
    </row>
    <row r="24" spans="1:3">
      <c r="A24">
        <v>23</v>
      </c>
      <c r="B24">
        <v>45</v>
      </c>
      <c r="C24">
        <v>65</v>
      </c>
    </row>
    <row r="25" spans="1:3">
      <c r="A25">
        <v>24</v>
      </c>
      <c r="B25">
        <v>45</v>
      </c>
      <c r="C25">
        <v>62</v>
      </c>
    </row>
    <row r="26" spans="1:3">
      <c r="A26">
        <v>25</v>
      </c>
      <c r="B26">
        <v>50</v>
      </c>
      <c r="C26">
        <v>60</v>
      </c>
    </row>
    <row r="27" spans="1:3">
      <c r="A27">
        <v>26</v>
      </c>
      <c r="B27">
        <v>10</v>
      </c>
      <c r="C27">
        <v>40</v>
      </c>
    </row>
    <row r="28" spans="1:3">
      <c r="A28">
        <v>27</v>
      </c>
      <c r="B28">
        <v>25</v>
      </c>
      <c r="C28">
        <v>55</v>
      </c>
    </row>
    <row r="29" spans="1:3">
      <c r="A29">
        <v>28</v>
      </c>
      <c r="B29">
        <v>25</v>
      </c>
      <c r="C29">
        <v>75</v>
      </c>
    </row>
    <row r="30" spans="1:3">
      <c r="A30">
        <v>29</v>
      </c>
      <c r="B30">
        <v>55</v>
      </c>
      <c r="C30">
        <v>60</v>
      </c>
    </row>
    <row r="31" spans="1:3">
      <c r="A31">
        <v>30</v>
      </c>
      <c r="B31">
        <v>55</v>
      </c>
      <c r="C31">
        <v>40</v>
      </c>
    </row>
    <row r="32" spans="1:3">
      <c r="A32">
        <v>31</v>
      </c>
      <c r="B32">
        <v>40</v>
      </c>
      <c r="C32">
        <v>70</v>
      </c>
    </row>
    <row r="33" spans="1:3">
      <c r="A33">
        <v>32</v>
      </c>
      <c r="B33">
        <v>50</v>
      </c>
      <c r="C33">
        <v>60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6C31-7FB0-4DB1-BF67-D9BF8A841CA9}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0E66-B282-4479-8D1B-E8DFFC1D1508}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2006-09-22T13:37:51Z</dcterms:created>
  <dcterms:modified xsi:type="dcterms:W3CDTF">2026-03-02T11:55:39Z</dcterms:modified>
  <cp:category/>
  <cp:contentStatus/>
</cp:coreProperties>
</file>